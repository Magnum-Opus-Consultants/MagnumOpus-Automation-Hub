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waship-my.sharepoint.com/personal/gerald_lowe_awaship_com/Documents/Desktop/TFS/Data Analysis/"/>
    </mc:Choice>
  </mc:AlternateContent>
  <xr:revisionPtr revIDLastSave="0" documentId="8_{1946EE4B-13D3-43D9-B7DF-D64088ACE21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harts" sheetId="3" r:id="rId1"/>
    <sheet name="Combined Data" sheetId="2" r:id="rId2"/>
    <sheet name="Utilization Data" sheetId="5" r:id="rId3"/>
    <sheet name="TFS Financial Data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2" i="5"/>
  <c r="I3" i="2"/>
  <c r="B3" i="5"/>
  <c r="B4" i="5"/>
  <c r="B5" i="5"/>
  <c r="B6" i="5"/>
  <c r="B7" i="5"/>
  <c r="B8" i="5"/>
  <c r="B9" i="5"/>
  <c r="B10" i="5"/>
  <c r="B11" i="5"/>
  <c r="B12" i="5"/>
  <c r="B2" i="5"/>
  <c r="E54" i="4"/>
  <c r="D54" i="4"/>
  <c r="C54" i="4"/>
  <c r="B54" i="4"/>
  <c r="I13" i="2"/>
  <c r="I4" i="2"/>
  <c r="I5" i="2"/>
  <c r="I6" i="2"/>
  <c r="I7" i="2"/>
  <c r="I8" i="2"/>
  <c r="I9" i="2"/>
  <c r="I10" i="2"/>
  <c r="I11" i="2"/>
  <c r="I12" i="2"/>
  <c r="H4" i="2"/>
  <c r="H5" i="2"/>
  <c r="H6" i="2"/>
  <c r="H7" i="2"/>
  <c r="H8" i="2"/>
  <c r="H9" i="2"/>
  <c r="H10" i="2"/>
  <c r="H11" i="2"/>
  <c r="H12" i="2"/>
  <c r="H13" i="2"/>
  <c r="H3" i="2"/>
  <c r="C55" i="2"/>
  <c r="D55" i="2"/>
  <c r="E55" i="2"/>
  <c r="B55" i="2"/>
</calcChain>
</file>

<file path=xl/sharedStrings.xml><?xml version="1.0" encoding="utf-8"?>
<sst xmlns="http://schemas.openxmlformats.org/spreadsheetml/2006/main" count="120" uniqueCount="61">
  <si>
    <t>Week #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</si>
  <si>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</si>
  <si>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</si>
  <si>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</si>
  <si>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</si>
  <si>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</si>
  <si>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</si>
  <si>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</si>
  <si>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</si>
  <si>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</si>
  <si>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</si>
  <si>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</si>
  <si>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</si>
  <si>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</si>
  <si>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</si>
  <si>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</si>
  <si>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</si>
  <si>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</si>
  <si>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</si>
  <si>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</si>
  <si>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</si>
  <si>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</si>
  <si>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</si>
  <si>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</si>
  <si>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</si>
  <si>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</si>
  <si>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</si>
  <si>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</si>
  <si>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</si>
  <si>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</si>
  <si>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</si>
  <si>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</si>
  <si>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</si>
  <si>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</si>
  <si>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</si>
  <si>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</si>
  <si>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</si>
  <si>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</si>
  <si>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</si>
  <si>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</si>
  <si>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</si>
  <si>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</si>
  <si>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</si>
  <si>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</si>
  <si>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</si>
  <si>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</si>
  <si>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</si>
  <si>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</si>
  <si>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</si>
  <si>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</si>
  <si>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</si>
  <si>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</si>
  <si>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</si>
  <si>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Totals</t>
  </si>
  <si>
    <t>.</t>
  </si>
  <si>
    <t>Previous Year % Change</t>
  </si>
  <si>
    <t>Miles 2026</t>
  </si>
  <si>
    <t>Revenue Per Mile 2026</t>
  </si>
  <si>
    <t>Revenue Per Truck 2026</t>
  </si>
  <si>
    <t>Utilization %</t>
  </si>
  <si>
    <t>Number of 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</si>
</sst>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/>
    <xf numFmtId="0" fontId="2" fillId="0" borderId="0"/>
    <xf numFmtId="0" fontId="2" fillId="0" borderId="2"/>
    <xf numFmtId="43" fontId="4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2" applyNumberFormat="1" applyFont="1"/>
    <xf numFmtId="9" fontId="0" fillId="0" borderId="0" xfId="1" applyFont="1"/>
    <xf numFmtId="2" fontId="0" fillId="0" borderId="0" xfId="0" applyNumberFormat="1"/>
    <xf numFmtId="0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9" fontId="0" fillId="0" borderId="0" xfId="0" applyNumberFormat="1"/>
    <xf numFmtId="43" fontId="0" fillId="0" borderId="0" xfId="6" applyFont="1"/>
  </cellXfs>
  <cellStyles count="7">
    <cellStyle name="Comma" xfId="6" builtinId="3"/>
    <cellStyle name="Currency" xfId="2" builtinId="4"/>
    <cellStyle name="GroupedCellStyle" xfId="4" xr:uid="{00000000-0005-0000-0000-000007000000}"/>
    <cellStyle name="HeaderCellStyle" xfId="3" xr:uid="{00000000-0005-0000-0000-000006000000}"/>
    <cellStyle name="Normal" xfId="0" builtinId="0"/>
    <cellStyle name="Percent" xfId="1" builtinId="5"/>
    <cellStyle name="TotalCellStyle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Data'!$B$2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Data'!$B$3:$B$13</c:f>
              <c:numCache>
                <c:formatCode>_("$"* #,##0_);_("$"* \(#,##0\);_("$"* "-"??_);_(@_)</c:formatCode>
                <c:ptCount val="11"/>
                <c:pt idx="0">
                  <c:v>3718.75</c:v>
                </c:pt>
                <c:pt idx="1">
                  <c:v>77590.58</c:v>
                </c:pt>
                <c:pt idx="2">
                  <c:v>85440.26</c:v>
                </c:pt>
                <c:pt idx="3">
                  <c:v>96081.51</c:v>
                </c:pt>
                <c:pt idx="4">
                  <c:v>80816.820000000007</c:v>
                </c:pt>
                <c:pt idx="5">
                  <c:v>73017.070000000007</c:v>
                </c:pt>
                <c:pt idx="6">
                  <c:v>82108.13</c:v>
                </c:pt>
                <c:pt idx="7">
                  <c:v>77806.5</c:v>
                </c:pt>
                <c:pt idx="8">
                  <c:v>79094.28</c:v>
                </c:pt>
                <c:pt idx="9">
                  <c:v>89003.15</c:v>
                </c:pt>
                <c:pt idx="10">
                  <c:v>86718.5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0-4277-BD95-EEE0F208CBF8}"/>
            </c:ext>
          </c:extLst>
        </c:ser>
        <c:ser>
          <c:idx val="1"/>
          <c:order val="1"/>
          <c:tx>
            <c:strRef>
              <c:f>'Combined Data'!$C$2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Data'!$C$3:$C$13</c:f>
              <c:numCache>
                <c:formatCode>_("$"* #,##0_);_("$"* \(#,##0\);_("$"* "-"??_);_(@_)</c:formatCode>
                <c:ptCount val="11"/>
                <c:pt idx="0">
                  <c:v>88296.61</c:v>
                </c:pt>
                <c:pt idx="1">
                  <c:v>126978.65</c:v>
                </c:pt>
                <c:pt idx="2">
                  <c:v>118982.09</c:v>
                </c:pt>
                <c:pt idx="3">
                  <c:v>118903.61</c:v>
                </c:pt>
                <c:pt idx="4">
                  <c:v>140190.75</c:v>
                </c:pt>
                <c:pt idx="5">
                  <c:v>144552.29</c:v>
                </c:pt>
                <c:pt idx="6">
                  <c:v>106451.51</c:v>
                </c:pt>
                <c:pt idx="7">
                  <c:v>121868.36</c:v>
                </c:pt>
                <c:pt idx="8">
                  <c:v>128925</c:v>
                </c:pt>
                <c:pt idx="9">
                  <c:v>136693.53</c:v>
                </c:pt>
                <c:pt idx="10">
                  <c:v>147013.19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0-4277-BD95-EEE0F208CBF8}"/>
            </c:ext>
          </c:extLst>
        </c:ser>
        <c:ser>
          <c:idx val="2"/>
          <c:order val="2"/>
          <c:tx>
            <c:strRef>
              <c:f>'Combined Data'!$D$2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Data'!$D$3:$D$13</c:f>
              <c:numCache>
                <c:formatCode>_("$"* #,##0_);_("$"* \(#,##0\);_("$"* "-"??_);_(@_)</c:formatCode>
                <c:ptCount val="11"/>
                <c:pt idx="0">
                  <c:v>146998.6</c:v>
                </c:pt>
                <c:pt idx="1">
                  <c:v>165902.35</c:v>
                </c:pt>
                <c:pt idx="2">
                  <c:v>158181.09</c:v>
                </c:pt>
                <c:pt idx="3">
                  <c:v>145399.18</c:v>
                </c:pt>
                <c:pt idx="4">
                  <c:v>188231.53</c:v>
                </c:pt>
                <c:pt idx="5">
                  <c:v>149220.70000000001</c:v>
                </c:pt>
                <c:pt idx="6">
                  <c:v>153156.54</c:v>
                </c:pt>
                <c:pt idx="7">
                  <c:v>171482.25</c:v>
                </c:pt>
                <c:pt idx="8">
                  <c:v>262635.78999999998</c:v>
                </c:pt>
                <c:pt idx="9">
                  <c:v>204447.96</c:v>
                </c:pt>
                <c:pt idx="10">
                  <c:v>155715.91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20-4277-BD95-EEE0F208CBF8}"/>
            </c:ext>
          </c:extLst>
        </c:ser>
        <c:ser>
          <c:idx val="3"/>
          <c:order val="3"/>
          <c:tx>
            <c:strRef>
              <c:f>'Combined Data'!$E$2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Data'!$E$3:$E$13</c:f>
              <c:numCache>
                <c:formatCode>_("$"* #,##0_);_("$"* \(#,##0\);_("$"* "-"??_);_(@_)</c:formatCode>
                <c:ptCount val="11"/>
                <c:pt idx="0">
                  <c:v>114901.17</c:v>
                </c:pt>
                <c:pt idx="1">
                  <c:v>175316.39</c:v>
                </c:pt>
                <c:pt idx="2">
                  <c:v>253843.56</c:v>
                </c:pt>
                <c:pt idx="3">
                  <c:v>231385.31</c:v>
                </c:pt>
                <c:pt idx="4">
                  <c:v>243852.47</c:v>
                </c:pt>
                <c:pt idx="5">
                  <c:v>237229.39</c:v>
                </c:pt>
                <c:pt idx="6">
                  <c:v>249988.92</c:v>
                </c:pt>
                <c:pt idx="7">
                  <c:v>209611.35</c:v>
                </c:pt>
                <c:pt idx="8">
                  <c:v>276594.94</c:v>
                </c:pt>
                <c:pt idx="9">
                  <c:v>254721.9</c:v>
                </c:pt>
                <c:pt idx="10">
                  <c:v>285332.49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20-4277-BD95-EEE0F208C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983952"/>
        <c:axId val="389264240"/>
      </c:barChart>
      <c:catAx>
        <c:axId val="39698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64240"/>
        <c:crosses val="autoZero"/>
        <c:auto val="1"/>
        <c:lblAlgn val="ctr"/>
        <c:lblOffset val="100"/>
        <c:noMultiLvlLbl val="0"/>
      </c:catAx>
      <c:valAx>
        <c:axId val="38926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83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Data'!$B$2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Data'!$B$3:$B$13</c:f>
              <c:numCache>
                <c:formatCode>_("$"* #,##0_);_("$"* \(#,##0\);_("$"* "-"??_);_(@_)</c:formatCode>
                <c:ptCount val="11"/>
                <c:pt idx="0">
                  <c:v>3718.75</c:v>
                </c:pt>
                <c:pt idx="1">
                  <c:v>77590.58</c:v>
                </c:pt>
                <c:pt idx="2">
                  <c:v>85440.26</c:v>
                </c:pt>
                <c:pt idx="3">
                  <c:v>96081.51</c:v>
                </c:pt>
                <c:pt idx="4">
                  <c:v>80816.820000000007</c:v>
                </c:pt>
                <c:pt idx="5">
                  <c:v>73017.070000000007</c:v>
                </c:pt>
                <c:pt idx="6">
                  <c:v>82108.13</c:v>
                </c:pt>
                <c:pt idx="7">
                  <c:v>77806.5</c:v>
                </c:pt>
                <c:pt idx="8">
                  <c:v>79094.28</c:v>
                </c:pt>
                <c:pt idx="9">
                  <c:v>89003.15</c:v>
                </c:pt>
                <c:pt idx="10">
                  <c:v>86718.5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6-46CB-B6D8-C3C002DC832B}"/>
            </c:ext>
          </c:extLst>
        </c:ser>
        <c:ser>
          <c:idx val="1"/>
          <c:order val="1"/>
          <c:tx>
            <c:strRef>
              <c:f>'Combined Data'!$C$2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Data'!$C$3:$C$13</c:f>
              <c:numCache>
                <c:formatCode>_("$"* #,##0_);_("$"* \(#,##0\);_("$"* "-"??_);_(@_)</c:formatCode>
                <c:ptCount val="11"/>
                <c:pt idx="0">
                  <c:v>88296.61</c:v>
                </c:pt>
                <c:pt idx="1">
                  <c:v>126978.65</c:v>
                </c:pt>
                <c:pt idx="2">
                  <c:v>118982.09</c:v>
                </c:pt>
                <c:pt idx="3">
                  <c:v>118903.61</c:v>
                </c:pt>
                <c:pt idx="4">
                  <c:v>140190.75</c:v>
                </c:pt>
                <c:pt idx="5">
                  <c:v>144552.29</c:v>
                </c:pt>
                <c:pt idx="6">
                  <c:v>106451.51</c:v>
                </c:pt>
                <c:pt idx="7">
                  <c:v>121868.36</c:v>
                </c:pt>
                <c:pt idx="8">
                  <c:v>128925</c:v>
                </c:pt>
                <c:pt idx="9">
                  <c:v>136693.53</c:v>
                </c:pt>
                <c:pt idx="10">
                  <c:v>147013.19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6-46CB-B6D8-C3C002DC832B}"/>
            </c:ext>
          </c:extLst>
        </c:ser>
        <c:ser>
          <c:idx val="2"/>
          <c:order val="2"/>
          <c:tx>
            <c:strRef>
              <c:f>'Combined Data'!$D$2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Data'!$D$3:$D$13</c:f>
              <c:numCache>
                <c:formatCode>_("$"* #,##0_);_("$"* \(#,##0\);_("$"* "-"??_);_(@_)</c:formatCode>
                <c:ptCount val="11"/>
                <c:pt idx="0">
                  <c:v>146998.6</c:v>
                </c:pt>
                <c:pt idx="1">
                  <c:v>165902.35</c:v>
                </c:pt>
                <c:pt idx="2">
                  <c:v>158181.09</c:v>
                </c:pt>
                <c:pt idx="3">
                  <c:v>145399.18</c:v>
                </c:pt>
                <c:pt idx="4">
                  <c:v>188231.53</c:v>
                </c:pt>
                <c:pt idx="5">
                  <c:v>149220.70000000001</c:v>
                </c:pt>
                <c:pt idx="6">
                  <c:v>153156.54</c:v>
                </c:pt>
                <c:pt idx="7">
                  <c:v>171482.25</c:v>
                </c:pt>
                <c:pt idx="8">
                  <c:v>262635.78999999998</c:v>
                </c:pt>
                <c:pt idx="9">
                  <c:v>204447.96</c:v>
                </c:pt>
                <c:pt idx="10">
                  <c:v>155715.91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6-46CB-B6D8-C3C002DC832B}"/>
            </c:ext>
          </c:extLst>
        </c:ser>
        <c:ser>
          <c:idx val="3"/>
          <c:order val="3"/>
          <c:tx>
            <c:strRef>
              <c:f>'Combined Data'!$E$2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Data'!$E$3:$E$13</c:f>
              <c:numCache>
                <c:formatCode>_("$"* #,##0_);_("$"* \(#,##0\);_("$"* "-"??_);_(@_)</c:formatCode>
                <c:ptCount val="11"/>
                <c:pt idx="0">
                  <c:v>114901.17</c:v>
                </c:pt>
                <c:pt idx="1">
                  <c:v>175316.39</c:v>
                </c:pt>
                <c:pt idx="2">
                  <c:v>253843.56</c:v>
                </c:pt>
                <c:pt idx="3">
                  <c:v>231385.31</c:v>
                </c:pt>
                <c:pt idx="4">
                  <c:v>243852.47</c:v>
                </c:pt>
                <c:pt idx="5">
                  <c:v>237229.39</c:v>
                </c:pt>
                <c:pt idx="6">
                  <c:v>249988.92</c:v>
                </c:pt>
                <c:pt idx="7">
                  <c:v>209611.35</c:v>
                </c:pt>
                <c:pt idx="8">
                  <c:v>276594.94</c:v>
                </c:pt>
                <c:pt idx="9">
                  <c:v>254721.9</c:v>
                </c:pt>
                <c:pt idx="10">
                  <c:v>285332.49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6-46CB-B6D8-C3C002DC832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2650319"/>
        <c:axId val="1392653679"/>
      </c:barChart>
      <c:lineChart>
        <c:grouping val="standard"/>
        <c:varyColors val="0"/>
        <c:ser>
          <c:idx val="4"/>
          <c:order val="4"/>
          <c:tx>
            <c:strRef>
              <c:f>'Combined Data'!$F$2</c:f>
              <c:strCache>
                <c:ptCount val="1"/>
                <c:pt idx="0">
                  <c:v>Previous Year % Change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Data'!$F$3:$F$13</c:f>
              <c:numCache>
                <c:formatCode>0%</c:formatCode>
                <c:ptCount val="11"/>
                <c:pt idx="0">
                  <c:v>-0.21840000000000001</c:v>
                </c:pt>
                <c:pt idx="1">
                  <c:v>5.67E-2</c:v>
                </c:pt>
                <c:pt idx="2">
                  <c:v>0.6048</c:v>
                </c:pt>
                <c:pt idx="3">
                  <c:v>0.59140000000000004</c:v>
                </c:pt>
                <c:pt idx="4">
                  <c:v>0.29549999999999998</c:v>
                </c:pt>
                <c:pt idx="5">
                  <c:v>0.58979999999999999</c:v>
                </c:pt>
                <c:pt idx="6">
                  <c:v>0.63219999999999998</c:v>
                </c:pt>
                <c:pt idx="7">
                  <c:v>0.22239999999999999</c:v>
                </c:pt>
                <c:pt idx="8">
                  <c:v>5.3199999999999997E-2</c:v>
                </c:pt>
                <c:pt idx="9">
                  <c:v>0.24590000000000001</c:v>
                </c:pt>
                <c:pt idx="10">
                  <c:v>0.83240000000000003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6-46CB-B6D8-C3C002DC83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2664719"/>
        <c:axId val="1392665199"/>
      </c:lineChart>
      <c:catAx>
        <c:axId val="1392650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53679"/>
        <c:crosses val="autoZero"/>
        <c:auto val="1"/>
        <c:lblAlgn val="ctr"/>
        <c:lblOffset val="100"/>
        <c:noMultiLvlLbl val="0"/>
      </c:catAx>
      <c:valAx>
        <c:axId val="139265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50319"/>
        <c:crosses val="autoZero"/>
        <c:crossBetween val="between"/>
      </c:valAx>
      <c:valAx>
        <c:axId val="139266519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64719"/>
        <c:crosses val="max"/>
        <c:crossBetween val="between"/>
      </c:valAx>
      <c:catAx>
        <c:axId val="1392664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392665199"/>
        <c:crosses val="max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Data'!$I$2</c:f>
              <c:strCache>
                <c:ptCount val="1"/>
                <c:pt idx="0">
                  <c:v>Revenue Per Truck 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'Combined Data'!$I$3:$I$13</c:f>
              <c:numCache>
                <c:formatCode>_("$"* #,##0.00_);_("$"* \(#,##0.00\);_("$"* "-"??_);_(@_)</c:formatCode>
                <c:ptCount val="11"/>
                <c:pt idx="0" formatCode="_(&quot;$&quot;* #,##0_);_(&quot;$&quot;* \(#,##0\);_(&quot;$&quot;* &quot;-&quot;??_);_(@_)">
                  <c:v>3590.6615624999999</c:v>
                </c:pt>
                <c:pt idx="1">
                  <c:v>5478.6371875000004</c:v>
                </c:pt>
                <c:pt idx="2">
                  <c:v>7932.6112499999999</c:v>
                </c:pt>
                <c:pt idx="3">
                  <c:v>7230.7909374999999</c:v>
                </c:pt>
                <c:pt idx="4">
                  <c:v>7620.3896875</c:v>
                </c:pt>
                <c:pt idx="5">
                  <c:v>7413.4184375000004</c:v>
                </c:pt>
                <c:pt idx="6">
                  <c:v>7812.1537500000004</c:v>
                </c:pt>
                <c:pt idx="7">
                  <c:v>6550.3546875000002</c:v>
                </c:pt>
                <c:pt idx="8">
                  <c:v>8643.5918750000001</c:v>
                </c:pt>
                <c:pt idx="9">
                  <c:v>7960.0593749999998</c:v>
                </c:pt>
                <c:pt idx="10">
                  <c:v>8916.6403124999997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9-42DE-B4F3-36C3AABAE6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1292576"/>
        <c:axId val="1941294016"/>
      </c:lineChart>
      <c:catAx>
        <c:axId val="194129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94016"/>
        <c:crosses val="autoZero"/>
        <c:auto val="1"/>
        <c:lblAlgn val="ctr"/>
        <c:lblOffset val="100"/>
        <c:noMultiLvlLbl val="0"/>
      </c:catAx>
      <c:valAx>
        <c:axId val="19412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9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Data'!$H$2</c:f>
              <c:strCache>
                <c:ptCount val="1"/>
                <c:pt idx="0">
                  <c:v>Revenue Per Mile 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'Combined Data'!$H$3:$H$13</c:f>
              <c:numCache>
                <c:formatCode>0.00</c:formatCode>
                <c:ptCount val="11"/>
                <c:pt idx="0">
                  <c:v>4.3938522640536837</c:v>
                </c:pt>
                <c:pt idx="1">
                  <c:v>4.5369693497239005</c:v>
                </c:pt>
                <c:pt idx="2">
                  <c:v>5.6876866582105414</c:v>
                </c:pt>
                <c:pt idx="3">
                  <c:v>4.8246624294238849</c:v>
                </c:pt>
                <c:pt idx="4">
                  <c:v>5.2487433600356095</c:v>
                </c:pt>
                <c:pt idx="5">
                  <c:v>4.6776838238048839</c:v>
                </c:pt>
                <c:pt idx="6">
                  <c:v>4.8054978870250418</c:v>
                </c:pt>
                <c:pt idx="7">
                  <c:v>4.3466577515239484</c:v>
                </c:pt>
                <c:pt idx="8">
                  <c:v>5.6379601055047557</c:v>
                </c:pt>
                <c:pt idx="9">
                  <c:v>4.3515292593401211</c:v>
                </c:pt>
                <c:pt idx="10">
                  <c:v>4.7670618995906775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3-46CF-AC76-D8C8E40C2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549983"/>
        <c:axId val="279556223"/>
      </c:barChart>
      <c:catAx>
        <c:axId val="2795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556223"/>
        <c:crosses val="autoZero"/>
        <c:auto val="1"/>
        <c:lblAlgn val="ctr"/>
        <c:lblOffset val="100"/>
        <c:tickLblSkip val="1"/>
        <c:noMultiLvlLbl val="0"/>
      </c:catAx>
      <c:valAx>
        <c:axId val="2795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5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Data'!$I$2</c:f>
              <c:strCache>
                <c:ptCount val="1"/>
                <c:pt idx="0">
                  <c:v>Revenue Per Truck 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'Combined Data'!$A$3:$A$13</c:f>
              <c:strCache>
                <c:ptCount val="11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</c:strCache>
            </c:strRef>
          </c:cat>
          <c:val>
            <c:numRef>
              <c:f>'Combined Data'!$I$3:$I$13</c:f>
              <c:numCache>
                <c:formatCode>_("$"* #,##0.00_);_("$"* \(#,##0.00\);_("$"* "-"??_);_(@_)</c:formatCode>
                <c:ptCount val="11"/>
                <c:pt idx="0" formatCode="_(&quot;$&quot;* #,##0_);_(&quot;$&quot;* \(#,##0\);_(&quot;$&quot;* &quot;-&quot;??_);_(@_)">
                  <c:v>3590.6615624999999</c:v>
                </c:pt>
                <c:pt idx="1">
                  <c:v>5478.6371875000004</c:v>
                </c:pt>
                <c:pt idx="2">
                  <c:v>7932.6112499999999</c:v>
                </c:pt>
                <c:pt idx="3">
                  <c:v>7230.7909374999999</c:v>
                </c:pt>
                <c:pt idx="4">
                  <c:v>7620.3896875</c:v>
                </c:pt>
                <c:pt idx="5">
                  <c:v>7413.4184375000004</c:v>
                </c:pt>
                <c:pt idx="6">
                  <c:v>7812.1537500000004</c:v>
                </c:pt>
                <c:pt idx="7">
                  <c:v>6550.3546875000002</c:v>
                </c:pt>
                <c:pt idx="8">
                  <c:v>8643.5918750000001</c:v>
                </c:pt>
                <c:pt idx="9">
                  <c:v>7960.0593749999998</c:v>
                </c:pt>
                <c:pt idx="10">
                  <c:v>8916.6403124999997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0-45CD-99E8-63DE71E564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4954944"/>
        <c:axId val="234968864"/>
      </c:lineChart>
      <c:catAx>
        <c:axId val="23495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68864"/>
        <c:crosses val="autoZero"/>
        <c:auto val="1"/>
        <c:lblAlgn val="ctr"/>
        <c:lblOffset val="100"/>
        <c:noMultiLvlLbl val="0"/>
      </c:catAx>
      <c:valAx>
        <c:axId val="2349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5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190500</xdr:rowOff>
    </xdr:from>
    <xdr:to>
      <xdr:col>21</xdr:col>
      <xdr:colOff>0</xdr:colOff>
      <xdr:row>31</xdr:row>
      <xdr:rowOff>190501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C6A0E6F6-5128-46B0-9245-2E19B99F6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32</xdr:row>
      <xdr:rowOff>96631</xdr:rowOff>
    </xdr:from>
    <xdr:to>
      <xdr:col>21</xdr:col>
      <xdr:colOff>0</xdr:colOff>
      <xdr:row>66</xdr:row>
      <xdr:rowOff>96630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973AC8B3-23B4-4949-B8AB-7CBDDE62C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99253</xdr:colOff>
      <xdr:row>66</xdr:row>
      <xdr:rowOff>198782</xdr:rowOff>
    </xdr:from>
    <xdr:to>
      <xdr:col>20</xdr:col>
      <xdr:colOff>657086</xdr:colOff>
      <xdr:row>98</xdr:row>
      <xdr:rowOff>9524</xdr:rowOff>
    </xdr:to>
    <xdr:graphicFrame macro="">
      <xdr:nvGraphicFramePr>
        <xdr:cNvPr id="26" name="Chart 5">
          <a:extLst>
            <a:ext uri="{FF2B5EF4-FFF2-40B4-BE49-F238E27FC236}">
              <a16:creationId xmlns:a16="http://schemas.microsoft.com/office/drawing/2014/main" id="{C375039E-D4C3-4AD0-B85C-2769922A5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128</xdr:row>
      <xdr:rowOff>9525</xdr:rowOff>
    </xdr:from>
    <xdr:to>
      <xdr:col>20</xdr:col>
      <xdr:colOff>676275</xdr:colOff>
      <xdr:row>162</xdr:row>
      <xdr:rowOff>0</xdr:rowOff>
    </xdr:to>
    <xdr:graphicFrame macro="">
      <xdr:nvGraphicFramePr>
        <xdr:cNvPr id="31" name="Chart 6">
          <a:extLst>
            <a:ext uri="{FF2B5EF4-FFF2-40B4-BE49-F238E27FC236}">
              <a16:creationId xmlns:a16="http://schemas.microsoft.com/office/drawing/2014/main" id="{667165D4-3472-42A0-92BA-F1ED1B6D6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163</xdr:row>
      <xdr:rowOff>73479</xdr:rowOff>
    </xdr:from>
    <xdr:to>
      <xdr:col>20</xdr:col>
      <xdr:colOff>646043</xdr:colOff>
      <xdr:row>186</xdr:row>
      <xdr:rowOff>41413</xdr:rowOff>
    </xdr:to>
    <xdr:graphicFrame macro="">
      <xdr:nvGraphicFramePr>
        <xdr:cNvPr id="32" name="Chart 181">
          <a:extLst>
            <a:ext uri="{FF2B5EF4-FFF2-40B4-BE49-F238E27FC236}">
              <a16:creationId xmlns:a16="http://schemas.microsoft.com/office/drawing/2014/main" id="{F43676BF-88CA-5E9D-8B49-5DD57381E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4D61-1D9F-4E07-B894-2087D5C7D9F7}">
  <dimension ref="A1"/>
  <sheetViews>
    <sheetView topLeftCell="A61" zoomScale="70" zoomScaleNormal="70" workbookViewId="0">
      <selection activeCell="Z41" sqref="Z41"/>
    </sheetView>
  </sheetViews>
  <sheetFormatPr defaultRowHeight="15.75" x14ac:dyDescent="0.25"/>
  <cols>
    <col min="1" max="1" width="11.3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E4E1-FFFA-4CDD-8C21-8FC1910E0EBB}">
  <dimension ref="A2:AC67"/>
  <sheetViews>
    <sheetView zoomScale="70" zoomScaleNormal="70" workbookViewId="0">
      <selection activeCell="I3" sqref="I3"/>
    </sheetView>
  </sheetViews>
  <sheetFormatPr defaultRowHeight="15.75" x14ac:dyDescent="0.25"/>
  <cols>
    <col min="2" max="2" width="19.125" customWidth="1"/>
    <col min="3" max="3" width="12.125" bestFit="1" customWidth="1"/>
    <col min="4" max="4" width="17.125" customWidth="1"/>
    <col min="5" max="5" width="12.125" bestFit="1" customWidth="1"/>
    <col min="6" max="6" width="16.375" customWidth="1"/>
    <col min="7" max="7" width="13.25" customWidth="1"/>
    <col min="8" max="8" width="20.375" customWidth="1"/>
    <col min="9" max="9" width="20.625" customWidth="1"/>
    <col min="10" max="10" width="17" customWidth="1"/>
  </cols>
  <sheetData>
    <row r="2" spans="1:10" x14ac:dyDescent="0.25">
      <c r="A2" t="s">
        <v>0</v>
      </c>
      <c r="B2">
        <v>2023</v>
      </c>
      <c r="C2">
        <v>2024</v>
      </c>
      <c r="D2">
        <v>2025</v>
      </c>
      <c r="E2">
        <v>2026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</row>
    <row r="3" spans="1:10" x14ac:dyDescent="0.25">
      <c r="A3" t="s">
        <v>1</v>
      </c>
      <c r="B3" s="1">
        <v>3718.75</v>
      </c>
      <c r="C3" s="1">
        <v>88296.61</v>
      </c>
      <c r="D3" s="1">
        <v>146998.6</v>
      </c>
      <c r="E3" s="1">
        <v>114901.17</v>
      </c>
      <c r="F3" s="2">
        <v>-0.21840000000000001</v>
      </c>
      <c r="G3" s="4">
        <v>26150.44</v>
      </c>
      <c r="H3" s="3">
        <f t="shared" ref="H3:H13" si="0">E3/G3</f>
        <v>4.3938522640536837</v>
      </c>
      <c r="I3" s="5">
        <f>E3/32</f>
        <v>3590.6615624999999</v>
      </c>
      <c r="J3" s="7">
        <v>0.37</v>
      </c>
    </row>
    <row r="4" spans="1:10" x14ac:dyDescent="0.25">
      <c r="A4" t="s">
        <v>2</v>
      </c>
      <c r="B4" s="1">
        <v>77590.58</v>
      </c>
      <c r="C4" s="1">
        <v>126978.65</v>
      </c>
      <c r="D4" s="1">
        <v>165902.35</v>
      </c>
      <c r="E4" s="1">
        <v>175316.39</v>
      </c>
      <c r="F4" s="2">
        <v>5.67E-2</v>
      </c>
      <c r="G4" s="4">
        <v>38641.74</v>
      </c>
      <c r="H4" s="3">
        <f t="shared" si="0"/>
        <v>4.5369693497239005</v>
      </c>
      <c r="I4" s="6">
        <f t="shared" ref="I3:I13" si="1">E4/32</f>
        <v>5478.6371875000004</v>
      </c>
      <c r="J4" s="7">
        <v>0.52</v>
      </c>
    </row>
    <row r="5" spans="1:10" x14ac:dyDescent="0.25">
      <c r="A5" t="s">
        <v>3</v>
      </c>
      <c r="B5" s="1">
        <v>85440.26</v>
      </c>
      <c r="C5" s="1">
        <v>118982.09</v>
      </c>
      <c r="D5" s="1">
        <v>158181.09</v>
      </c>
      <c r="E5" s="1">
        <v>253843.56</v>
      </c>
      <c r="F5" s="2">
        <v>0.6048</v>
      </c>
      <c r="G5" s="4">
        <v>44630.37</v>
      </c>
      <c r="H5" s="3">
        <f t="shared" si="0"/>
        <v>5.6876866582105414</v>
      </c>
      <c r="I5" s="6">
        <f t="shared" si="1"/>
        <v>7932.6112499999999</v>
      </c>
      <c r="J5" s="7">
        <v>0.63</v>
      </c>
    </row>
    <row r="6" spans="1:10" x14ac:dyDescent="0.25">
      <c r="A6" t="s">
        <v>4</v>
      </c>
      <c r="B6" s="1">
        <v>96081.51</v>
      </c>
      <c r="C6" s="1">
        <v>118903.61</v>
      </c>
      <c r="D6" s="1">
        <v>145399.18</v>
      </c>
      <c r="E6" s="1">
        <v>231385.31</v>
      </c>
      <c r="F6" s="2">
        <v>0.59140000000000004</v>
      </c>
      <c r="G6" s="4">
        <v>47958.86</v>
      </c>
      <c r="H6" s="3">
        <f t="shared" si="0"/>
        <v>4.8246624294238849</v>
      </c>
      <c r="I6" s="6">
        <f t="shared" si="1"/>
        <v>7230.7909374999999</v>
      </c>
      <c r="J6" s="7">
        <v>0.71</v>
      </c>
    </row>
    <row r="7" spans="1:10" x14ac:dyDescent="0.25">
      <c r="A7" t="s">
        <v>5</v>
      </c>
      <c r="B7" s="1">
        <v>80816.820000000007</v>
      </c>
      <c r="C7" s="1">
        <v>140190.75</v>
      </c>
      <c r="D7" s="1">
        <v>188231.53</v>
      </c>
      <c r="E7" s="1">
        <v>243852.47</v>
      </c>
      <c r="F7" s="2">
        <v>0.29549999999999998</v>
      </c>
      <c r="G7" s="4">
        <v>46459.21</v>
      </c>
      <c r="H7" s="3">
        <f t="shared" si="0"/>
        <v>5.2487433600356095</v>
      </c>
      <c r="I7" s="6">
        <f t="shared" si="1"/>
        <v>7620.3896875</v>
      </c>
      <c r="J7" s="7">
        <v>0.72</v>
      </c>
    </row>
    <row r="8" spans="1:10" x14ac:dyDescent="0.25">
      <c r="A8" t="s">
        <v>6</v>
      </c>
      <c r="B8" s="1">
        <v>73017.070000000007</v>
      </c>
      <c r="C8" s="1">
        <v>144552.29</v>
      </c>
      <c r="D8" s="1">
        <v>149220.70000000001</v>
      </c>
      <c r="E8" s="1">
        <v>237229.39</v>
      </c>
      <c r="F8" s="2">
        <v>0.58979999999999999</v>
      </c>
      <c r="G8" s="4">
        <v>50715.14</v>
      </c>
      <c r="H8" s="3">
        <f t="shared" si="0"/>
        <v>4.6776838238048839</v>
      </c>
      <c r="I8" s="6">
        <f t="shared" si="1"/>
        <v>7413.4184375000004</v>
      </c>
      <c r="J8" s="7">
        <v>0.79</v>
      </c>
    </row>
    <row r="9" spans="1:10" x14ac:dyDescent="0.25">
      <c r="A9" t="s">
        <v>7</v>
      </c>
      <c r="B9" s="1">
        <v>82108.13</v>
      </c>
      <c r="C9" s="1">
        <v>106451.51</v>
      </c>
      <c r="D9" s="1">
        <v>153156.54</v>
      </c>
      <c r="E9" s="1">
        <v>249988.92</v>
      </c>
      <c r="F9" s="2">
        <v>0.63219999999999998</v>
      </c>
      <c r="G9" s="4">
        <v>52021.440000000002</v>
      </c>
      <c r="H9" s="3">
        <f t="shared" si="0"/>
        <v>4.8054978870250418</v>
      </c>
      <c r="I9" s="6">
        <f t="shared" si="1"/>
        <v>7812.1537500000004</v>
      </c>
      <c r="J9" s="7">
        <v>0.52</v>
      </c>
    </row>
    <row r="10" spans="1:10" x14ac:dyDescent="0.25">
      <c r="A10" t="s">
        <v>8</v>
      </c>
      <c r="B10" s="1">
        <v>77806.5</v>
      </c>
      <c r="C10" s="1">
        <v>121868.36</v>
      </c>
      <c r="D10" s="1">
        <v>171482.25</v>
      </c>
      <c r="E10" s="1">
        <v>209611.35</v>
      </c>
      <c r="F10" s="2">
        <v>0.22239999999999999</v>
      </c>
      <c r="G10" s="4">
        <v>48223.569000000003</v>
      </c>
      <c r="H10" s="3">
        <f t="shared" si="0"/>
        <v>4.3466577515239484</v>
      </c>
      <c r="I10" s="6">
        <f t="shared" si="1"/>
        <v>6550.3546875000002</v>
      </c>
      <c r="J10" s="7">
        <v>0.55000000000000004</v>
      </c>
    </row>
    <row r="11" spans="1:10" x14ac:dyDescent="0.25">
      <c r="A11" t="s">
        <v>9</v>
      </c>
      <c r="B11" s="1">
        <v>79094.28</v>
      </c>
      <c r="C11" s="1">
        <v>128925</v>
      </c>
      <c r="D11" s="1">
        <v>262635.78999999998</v>
      </c>
      <c r="E11" s="1">
        <v>276594.94</v>
      </c>
      <c r="F11" s="2">
        <v>5.3199999999999997E-2</v>
      </c>
      <c r="G11" s="4">
        <v>49059.4</v>
      </c>
      <c r="H11" s="3">
        <f t="shared" si="0"/>
        <v>5.6379601055047557</v>
      </c>
      <c r="I11" s="6">
        <f t="shared" si="1"/>
        <v>8643.5918750000001</v>
      </c>
      <c r="J11" s="7">
        <v>0.54</v>
      </c>
    </row>
    <row r="12" spans="1:10" x14ac:dyDescent="0.25">
      <c r="A12" t="s">
        <v>10</v>
      </c>
      <c r="B12" s="1">
        <v>89003.15</v>
      </c>
      <c r="C12" s="1">
        <v>136693.53</v>
      </c>
      <c r="D12" s="1">
        <v>204447.96</v>
      </c>
      <c r="E12" s="1">
        <v>254721.9</v>
      </c>
      <c r="F12" s="2">
        <v>0.24590000000000001</v>
      </c>
      <c r="G12" s="4">
        <v>58536.18</v>
      </c>
      <c r="H12" s="3">
        <f t="shared" si="0"/>
        <v>4.3515292593401211</v>
      </c>
      <c r="I12" s="6">
        <f t="shared" si="1"/>
        <v>7960.0593749999998</v>
      </c>
      <c r="J12" s="7">
        <v>0.59</v>
      </c>
    </row>
    <row r="13" spans="1:10" x14ac:dyDescent="0.25">
      <c r="A13" t="s">
        <v>11</v>
      </c>
      <c r="B13" s="1">
        <v>86718.5</v>
      </c>
      <c r="C13" s="1">
        <v>147013.19</v>
      </c>
      <c r="D13" s="1">
        <v>155715.91</v>
      </c>
      <c r="E13" s="1">
        <v>285332.49</v>
      </c>
      <c r="F13" s="2">
        <v>0.83240000000000003</v>
      </c>
      <c r="G13" s="4">
        <v>59855</v>
      </c>
      <c r="H13" s="3">
        <f t="shared" si="0"/>
        <v>4.7670618995906775</v>
      </c>
      <c r="I13" s="6">
        <f t="shared" si="1"/>
        <v>8916.6403124999997</v>
      </c>
      <c r="J13" s="7">
        <v>0.63</v>
      </c>
    </row>
    <row r="14" spans="1:10" x14ac:dyDescent="0.25">
      <c r="A14" t="s">
        <v>12</v>
      </c>
      <c r="B14" s="1">
        <v>80100.160000000003</v>
      </c>
      <c r="C14" s="1">
        <v>161552.92000000001</v>
      </c>
      <c r="D14" s="1">
        <v>229340.03</v>
      </c>
      <c r="E14" s="1"/>
      <c r="F14" s="2"/>
    </row>
    <row r="15" spans="1:10" x14ac:dyDescent="0.25">
      <c r="A15" t="s">
        <v>13</v>
      </c>
      <c r="B15" s="1">
        <v>84645.119999999995</v>
      </c>
      <c r="C15" s="1">
        <v>144737.76</v>
      </c>
      <c r="D15" s="1">
        <v>146517.87</v>
      </c>
      <c r="E15" s="1"/>
      <c r="F15" s="2"/>
    </row>
    <row r="16" spans="1:10" x14ac:dyDescent="0.25">
      <c r="A16" t="s">
        <v>14</v>
      </c>
      <c r="B16" s="1">
        <v>86681.61</v>
      </c>
      <c r="C16" s="1">
        <v>143125.14000000001</v>
      </c>
      <c r="D16" s="1">
        <v>171618.72</v>
      </c>
      <c r="E16" s="1"/>
      <c r="F16" s="2"/>
    </row>
    <row r="17" spans="1:6" x14ac:dyDescent="0.25">
      <c r="A17" t="s">
        <v>15</v>
      </c>
      <c r="B17" s="1">
        <v>74512.399999999994</v>
      </c>
      <c r="C17" s="1">
        <v>157705.67000000001</v>
      </c>
      <c r="D17" s="1">
        <v>143872.01999999999</v>
      </c>
      <c r="E17" s="1"/>
      <c r="F17" s="2"/>
    </row>
    <row r="18" spans="1:6" x14ac:dyDescent="0.25">
      <c r="A18" t="s">
        <v>16</v>
      </c>
      <c r="B18" s="1">
        <v>74192.53</v>
      </c>
      <c r="C18" s="1">
        <v>164823.99</v>
      </c>
      <c r="D18" s="1">
        <v>179689.87</v>
      </c>
      <c r="E18" s="1"/>
      <c r="F18" s="2"/>
    </row>
    <row r="19" spans="1:6" x14ac:dyDescent="0.25">
      <c r="A19" t="s">
        <v>17</v>
      </c>
      <c r="B19" s="1">
        <v>84733.62</v>
      </c>
      <c r="C19" s="1">
        <v>177324.95</v>
      </c>
      <c r="D19" s="1">
        <v>172109.29</v>
      </c>
      <c r="E19" s="1"/>
      <c r="F19" s="2"/>
    </row>
    <row r="20" spans="1:6" x14ac:dyDescent="0.25">
      <c r="A20" t="s">
        <v>18</v>
      </c>
      <c r="B20" s="1">
        <v>84201.74</v>
      </c>
      <c r="C20" s="1">
        <v>161978.93</v>
      </c>
      <c r="D20" s="1">
        <v>239699.14</v>
      </c>
      <c r="E20" s="1"/>
      <c r="F20" s="2"/>
    </row>
    <row r="21" spans="1:6" x14ac:dyDescent="0.25">
      <c r="A21" t="s">
        <v>19</v>
      </c>
      <c r="B21" s="1">
        <v>79536.47</v>
      </c>
      <c r="C21" s="1">
        <v>165397.81</v>
      </c>
      <c r="D21" s="1">
        <v>188420.94</v>
      </c>
      <c r="E21" s="1"/>
      <c r="F21" s="2"/>
    </row>
    <row r="22" spans="1:6" x14ac:dyDescent="0.25">
      <c r="A22" t="s">
        <v>20</v>
      </c>
      <c r="B22" s="1">
        <v>94029.92</v>
      </c>
      <c r="C22" s="1">
        <v>142485.68</v>
      </c>
      <c r="D22" s="1">
        <v>283371.93</v>
      </c>
      <c r="E22" s="1"/>
      <c r="F22" s="2"/>
    </row>
    <row r="23" spans="1:6" x14ac:dyDescent="0.25">
      <c r="A23" t="s">
        <v>21</v>
      </c>
      <c r="B23" s="1">
        <v>93860.58</v>
      </c>
      <c r="C23" s="1">
        <v>148690.66</v>
      </c>
      <c r="D23" s="1">
        <v>237449.68</v>
      </c>
      <c r="E23" s="1"/>
      <c r="F23" s="2"/>
    </row>
    <row r="24" spans="1:6" x14ac:dyDescent="0.25">
      <c r="A24" t="s">
        <v>22</v>
      </c>
      <c r="B24" s="1">
        <v>92044.97</v>
      </c>
      <c r="C24" s="1">
        <v>187398.86</v>
      </c>
      <c r="D24" s="1">
        <v>244199.32</v>
      </c>
      <c r="E24" s="1"/>
      <c r="F24" s="2"/>
    </row>
    <row r="25" spans="1:6" x14ac:dyDescent="0.25">
      <c r="A25" t="s">
        <v>23</v>
      </c>
      <c r="B25" s="1">
        <v>86816.03</v>
      </c>
      <c r="C25" s="1">
        <v>85814.9</v>
      </c>
      <c r="D25" s="1">
        <v>218365.28</v>
      </c>
      <c r="E25" s="1"/>
      <c r="F25" s="2"/>
    </row>
    <row r="26" spans="1:6" x14ac:dyDescent="0.25">
      <c r="A26" t="s">
        <v>24</v>
      </c>
      <c r="B26" s="1">
        <v>100020.75</v>
      </c>
      <c r="C26" s="1">
        <v>254630.54</v>
      </c>
      <c r="D26" s="1">
        <v>279898.32</v>
      </c>
      <c r="E26" s="1"/>
      <c r="F26" s="2"/>
    </row>
    <row r="27" spans="1:6" x14ac:dyDescent="0.25">
      <c r="A27" t="s">
        <v>25</v>
      </c>
      <c r="B27" s="1">
        <v>81313.259999999995</v>
      </c>
      <c r="C27" s="1">
        <v>325390.90000000002</v>
      </c>
      <c r="D27" s="1">
        <v>269317.75</v>
      </c>
      <c r="E27" s="1"/>
      <c r="F27" s="2"/>
    </row>
    <row r="28" spans="1:6" x14ac:dyDescent="0.25">
      <c r="A28" t="s">
        <v>26</v>
      </c>
      <c r="B28" s="1">
        <v>93206.68</v>
      </c>
      <c r="C28" s="1">
        <v>231363.5</v>
      </c>
      <c r="D28" s="1">
        <v>256935.73</v>
      </c>
      <c r="E28" s="1"/>
      <c r="F28" s="2"/>
    </row>
    <row r="29" spans="1:6" x14ac:dyDescent="0.25">
      <c r="A29" t="s">
        <v>27</v>
      </c>
      <c r="B29" s="1">
        <v>125658.74</v>
      </c>
      <c r="C29" s="1">
        <v>166773.01999999999</v>
      </c>
      <c r="D29" s="1">
        <v>208484.05</v>
      </c>
      <c r="E29" s="1"/>
      <c r="F29" s="2"/>
    </row>
    <row r="30" spans="1:6" x14ac:dyDescent="0.25">
      <c r="A30" t="s">
        <v>28</v>
      </c>
      <c r="B30" s="1">
        <v>83208.429999999993</v>
      </c>
      <c r="C30" s="1">
        <v>202342.04</v>
      </c>
      <c r="D30" s="1">
        <v>214612.16</v>
      </c>
      <c r="E30" s="1"/>
      <c r="F30" s="2"/>
    </row>
    <row r="31" spans="1:6" x14ac:dyDescent="0.25">
      <c r="A31" t="s">
        <v>29</v>
      </c>
      <c r="B31" s="1">
        <v>93840.07</v>
      </c>
      <c r="C31" s="1">
        <v>220661.32</v>
      </c>
      <c r="D31" s="1">
        <v>255439.57</v>
      </c>
      <c r="E31" s="1"/>
      <c r="F31" s="2"/>
    </row>
    <row r="32" spans="1:6" x14ac:dyDescent="0.25">
      <c r="A32" t="s">
        <v>30</v>
      </c>
      <c r="B32" s="1">
        <v>82642.61</v>
      </c>
      <c r="C32" s="1">
        <v>211990.51</v>
      </c>
      <c r="D32" s="1">
        <v>234266.29</v>
      </c>
      <c r="E32" s="1"/>
      <c r="F32" s="2"/>
    </row>
    <row r="33" spans="1:6" x14ac:dyDescent="0.25">
      <c r="A33" t="s">
        <v>31</v>
      </c>
      <c r="B33" s="1">
        <v>94309.57</v>
      </c>
      <c r="C33" s="1">
        <v>144010.56</v>
      </c>
      <c r="D33" s="1">
        <v>235618.28</v>
      </c>
      <c r="E33" s="1"/>
      <c r="F33" s="2"/>
    </row>
    <row r="34" spans="1:6" x14ac:dyDescent="0.25">
      <c r="A34" t="s">
        <v>32</v>
      </c>
      <c r="B34" s="1">
        <v>102353.17</v>
      </c>
      <c r="C34" s="1">
        <v>185010.66</v>
      </c>
      <c r="D34" s="1">
        <v>210689.02</v>
      </c>
      <c r="E34" s="1"/>
      <c r="F34" s="2"/>
    </row>
    <row r="35" spans="1:6" x14ac:dyDescent="0.25">
      <c r="A35" t="s">
        <v>33</v>
      </c>
      <c r="B35" s="1">
        <v>111111.17</v>
      </c>
      <c r="C35" s="1">
        <v>187147.2</v>
      </c>
      <c r="D35" s="1">
        <v>193325.81</v>
      </c>
      <c r="E35" s="1"/>
      <c r="F35" s="2"/>
    </row>
    <row r="36" spans="1:6" x14ac:dyDescent="0.25">
      <c r="A36" t="s">
        <v>34</v>
      </c>
      <c r="B36" s="1">
        <v>105741.19</v>
      </c>
      <c r="C36" s="1">
        <v>181145.94</v>
      </c>
      <c r="D36" s="1">
        <v>191816.72</v>
      </c>
      <c r="E36" s="1"/>
      <c r="F36" s="2"/>
    </row>
    <row r="37" spans="1:6" x14ac:dyDescent="0.25">
      <c r="A37" t="s">
        <v>35</v>
      </c>
      <c r="B37" s="1">
        <v>95025.46</v>
      </c>
      <c r="C37" s="1">
        <v>210834.71</v>
      </c>
      <c r="D37" s="1">
        <v>192543.94</v>
      </c>
      <c r="E37" s="1"/>
      <c r="F37" s="2"/>
    </row>
    <row r="38" spans="1:6" x14ac:dyDescent="0.25">
      <c r="A38" t="s">
        <v>36</v>
      </c>
      <c r="B38" s="1">
        <v>124700.32</v>
      </c>
      <c r="C38" s="1">
        <v>133001.04999999999</v>
      </c>
      <c r="D38" s="1">
        <v>280809.96999999997</v>
      </c>
      <c r="E38" s="1"/>
      <c r="F38" s="2"/>
    </row>
    <row r="39" spans="1:6" x14ac:dyDescent="0.25">
      <c r="A39" t="s">
        <v>37</v>
      </c>
      <c r="B39" s="1"/>
      <c r="C39" s="1">
        <v>165585.31</v>
      </c>
      <c r="D39" s="1">
        <v>174988.61</v>
      </c>
      <c r="E39" s="1"/>
      <c r="F39" s="2"/>
    </row>
    <row r="40" spans="1:6" x14ac:dyDescent="0.25">
      <c r="A40" t="s">
        <v>38</v>
      </c>
      <c r="B40" s="1">
        <v>5983.48</v>
      </c>
      <c r="C40" s="1">
        <v>156237.85999999999</v>
      </c>
      <c r="D40" s="1">
        <v>233439.62</v>
      </c>
      <c r="E40" s="1"/>
      <c r="F40" s="2"/>
    </row>
    <row r="41" spans="1:6" x14ac:dyDescent="0.25">
      <c r="A41" t="s">
        <v>39</v>
      </c>
      <c r="B41" s="1">
        <v>329616.48</v>
      </c>
      <c r="C41" s="1">
        <v>198295.13</v>
      </c>
      <c r="D41" s="1">
        <v>174262.89</v>
      </c>
      <c r="E41" s="1"/>
      <c r="F41" s="2"/>
    </row>
    <row r="42" spans="1:6" x14ac:dyDescent="0.25">
      <c r="A42" t="s">
        <v>40</v>
      </c>
      <c r="B42" s="1">
        <v>130164.75</v>
      </c>
      <c r="C42" s="1">
        <v>234987.46</v>
      </c>
      <c r="D42" s="1">
        <v>257163.01</v>
      </c>
      <c r="E42" s="1"/>
      <c r="F42" s="2"/>
    </row>
    <row r="43" spans="1:6" x14ac:dyDescent="0.25">
      <c r="A43" t="s">
        <v>41</v>
      </c>
      <c r="B43" s="1">
        <v>113898.6</v>
      </c>
      <c r="C43" s="1">
        <v>172505.76</v>
      </c>
      <c r="D43" s="1">
        <v>213874.16</v>
      </c>
      <c r="E43" s="1"/>
      <c r="F43" s="2"/>
    </row>
    <row r="44" spans="1:6" x14ac:dyDescent="0.25">
      <c r="A44" t="s">
        <v>42</v>
      </c>
      <c r="B44" s="1">
        <v>106964.04</v>
      </c>
      <c r="C44" s="1">
        <v>182630.14</v>
      </c>
      <c r="D44" s="1">
        <v>180132.86</v>
      </c>
      <c r="E44" s="1"/>
      <c r="F44" s="2"/>
    </row>
    <row r="45" spans="1:6" x14ac:dyDescent="0.25">
      <c r="A45" t="s">
        <v>43</v>
      </c>
      <c r="B45" s="1">
        <v>105135.01</v>
      </c>
      <c r="C45" s="1">
        <v>225644.73</v>
      </c>
      <c r="D45" s="1">
        <v>205128.51</v>
      </c>
      <c r="E45" s="1"/>
      <c r="F45" s="2"/>
    </row>
    <row r="46" spans="1:6" x14ac:dyDescent="0.25">
      <c r="A46" t="s">
        <v>44</v>
      </c>
      <c r="B46" s="1">
        <v>113036.37</v>
      </c>
      <c r="C46" s="1">
        <v>251121.26</v>
      </c>
      <c r="D46" s="1">
        <v>257007.11</v>
      </c>
      <c r="E46" s="1"/>
      <c r="F46" s="2"/>
    </row>
    <row r="47" spans="1:6" x14ac:dyDescent="0.25">
      <c r="A47" t="s">
        <v>45</v>
      </c>
      <c r="B47" s="1">
        <v>119630.03</v>
      </c>
      <c r="C47" s="1">
        <v>222507.86</v>
      </c>
      <c r="D47" s="1">
        <v>217504.57</v>
      </c>
      <c r="E47" s="1"/>
      <c r="F47" s="2"/>
    </row>
    <row r="48" spans="1:6" x14ac:dyDescent="0.25">
      <c r="A48" t="s">
        <v>46</v>
      </c>
      <c r="B48" s="1">
        <v>125475.35</v>
      </c>
      <c r="C48" s="1">
        <v>190657.28</v>
      </c>
      <c r="D48" s="1">
        <v>246198.95</v>
      </c>
      <c r="E48" s="1"/>
      <c r="F48" s="2"/>
    </row>
    <row r="49" spans="1:6" x14ac:dyDescent="0.25">
      <c r="A49" t="s">
        <v>47</v>
      </c>
      <c r="B49" s="1">
        <v>129871.27</v>
      </c>
      <c r="C49" s="1">
        <v>180211.11</v>
      </c>
      <c r="D49" s="1">
        <v>255541.58</v>
      </c>
      <c r="E49" s="1"/>
      <c r="F49" s="2"/>
    </row>
    <row r="50" spans="1:6" x14ac:dyDescent="0.25">
      <c r="A50" t="s">
        <v>48</v>
      </c>
      <c r="B50" s="1">
        <v>115409.73</v>
      </c>
      <c r="C50" s="1">
        <v>232850.98</v>
      </c>
      <c r="D50" s="1">
        <v>172618.99</v>
      </c>
      <c r="E50" s="1"/>
      <c r="F50" s="2"/>
    </row>
    <row r="51" spans="1:6" x14ac:dyDescent="0.25">
      <c r="A51" t="s">
        <v>49</v>
      </c>
      <c r="B51" s="1">
        <v>105027.94</v>
      </c>
      <c r="C51" s="1">
        <v>225108.48000000001</v>
      </c>
      <c r="D51" s="1">
        <v>328374.40000000002</v>
      </c>
      <c r="E51" s="1"/>
      <c r="F51" s="2"/>
    </row>
    <row r="52" spans="1:6" x14ac:dyDescent="0.25">
      <c r="A52" t="s">
        <v>50</v>
      </c>
      <c r="B52" s="1">
        <v>119150.43</v>
      </c>
      <c r="C52" s="1">
        <v>206603.06</v>
      </c>
      <c r="D52" s="1">
        <v>233965.87</v>
      </c>
      <c r="E52" s="1"/>
      <c r="F52" s="2"/>
    </row>
    <row r="53" spans="1:6" x14ac:dyDescent="0.25">
      <c r="A53" t="s">
        <v>51</v>
      </c>
      <c r="B53" s="1">
        <v>135880.21</v>
      </c>
      <c r="C53" s="1">
        <v>145323.60999999999</v>
      </c>
      <c r="D53" s="1">
        <v>240403.19</v>
      </c>
      <c r="E53" s="1"/>
      <c r="F53" s="2"/>
    </row>
    <row r="54" spans="1:6" x14ac:dyDescent="0.25">
      <c r="A54" t="s">
        <v>52</v>
      </c>
      <c r="B54" s="1">
        <v>137427.87</v>
      </c>
      <c r="C54" s="1">
        <v>127610.55</v>
      </c>
      <c r="D54" s="1">
        <v>101605.31</v>
      </c>
      <c r="E54" s="1"/>
      <c r="F54" s="2"/>
    </row>
    <row r="55" spans="1:6" x14ac:dyDescent="0.25">
      <c r="A55" t="s">
        <v>53</v>
      </c>
      <c r="B55" s="1">
        <f>SUM(B3:B54)</f>
        <v>5032553.68</v>
      </c>
      <c r="C55" s="1">
        <f t="shared" ref="C55:E55" si="2">SUM(C3:C54)</f>
        <v>8992075.3900000025</v>
      </c>
      <c r="D55" s="1">
        <f t="shared" si="2"/>
        <v>10871993.229999999</v>
      </c>
      <c r="E55" s="1">
        <f t="shared" si="2"/>
        <v>2532777.8899999997</v>
      </c>
    </row>
    <row r="67" spans="29:29" x14ac:dyDescent="0.25">
      <c r="AC67" t="s">
        <v>54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C885-D764-4875-847A-3881C45ADFBF}">
  <dimension ref="A1:G12"/>
  <sheetViews>
    <sheetView workbookViewId="0">
      <selection activeCell="D2" sqref="D2"/>
    </sheetView>
  </sheetViews>
  <sheetFormatPr defaultRowHeight="15.75" x14ac:dyDescent="0.25"/>
  <cols>
    <col min="1" max="1" width="10.125" bestFit="1" customWidth="1"/>
    <col min="2" max="2" width="19.875" bestFit="1" customWidth="1"/>
    <col min="3" max="3" width="20.625" bestFit="1" customWidth="1"/>
    <col min="4" max="4" width="11" bestFit="1" customWidth="1"/>
    <col min="6" max="6" width="15.25" bestFit="1" customWidth="1"/>
  </cols>
  <sheetData>
    <row r="1" spans="1:7" x14ac:dyDescent="0.25">
      <c r="A1" t="s">
        <v>56</v>
      </c>
      <c r="B1" t="s">
        <v>57</v>
      </c>
      <c r="C1" t="s">
        <v>58</v>
      </c>
      <c r="D1" t="s">
        <v>59</v>
      </c>
      <c r="F1" t="s">
        <v>60</v>
      </c>
      <c r="G1">
        <v>32</v>
      </c>
    </row>
    <row r="2" spans="1:7" x14ac:dyDescent="0.25">
      <c r="A2" s="8">
        <v>26150.44</v>
      </c>
      <c r="B2" s="3">
        <f>'TFS Financial Data '!E2/'Utilization Data'!A2</f>
        <v>4.3938522640536837</v>
      </c>
      <c r="C2" s="5">
        <f>'TFS Financial Data '!E2/$G$1</f>
        <v>3590.6615624999999</v>
      </c>
      <c r="D2" s="7">
        <v>0.37</v>
      </c>
    </row>
    <row r="3" spans="1:7" x14ac:dyDescent="0.25">
      <c r="A3" s="8">
        <v>38641.74</v>
      </c>
      <c r="B3" s="3">
        <f>'TFS Financial Data '!E3/'Utilization Data'!A3</f>
        <v>4.5369693497239005</v>
      </c>
      <c r="C3" s="5">
        <f>'TFS Financial Data '!E3/$G$1</f>
        <v>5478.6371875000004</v>
      </c>
      <c r="D3" s="7">
        <v>0.52</v>
      </c>
    </row>
    <row r="4" spans="1:7" x14ac:dyDescent="0.25">
      <c r="A4" s="8">
        <v>44630.37</v>
      </c>
      <c r="B4" s="3">
        <f>'TFS Financial Data '!E4/'Utilization Data'!A4</f>
        <v>5.6876866582105414</v>
      </c>
      <c r="C4" s="5">
        <f>'TFS Financial Data '!E4/$G$1</f>
        <v>7932.6112499999999</v>
      </c>
      <c r="D4" s="7">
        <v>0.63</v>
      </c>
    </row>
    <row r="5" spans="1:7" x14ac:dyDescent="0.25">
      <c r="A5" s="8">
        <v>47958.86</v>
      </c>
      <c r="B5" s="3">
        <f>'TFS Financial Data '!E5/'Utilization Data'!A5</f>
        <v>4.8246624294238849</v>
      </c>
      <c r="C5" s="5">
        <f>'TFS Financial Data '!E5/$G$1</f>
        <v>7230.7909374999999</v>
      </c>
      <c r="D5" s="7">
        <v>0.71</v>
      </c>
    </row>
    <row r="6" spans="1:7" x14ac:dyDescent="0.25">
      <c r="A6" s="8">
        <v>46459.21</v>
      </c>
      <c r="B6" s="3">
        <f>'TFS Financial Data '!E6/'Utilization Data'!A6</f>
        <v>5.2487433600356095</v>
      </c>
      <c r="C6" s="5">
        <f>'TFS Financial Data '!E6/$G$1</f>
        <v>7620.3896875</v>
      </c>
      <c r="D6" s="7">
        <v>0.72</v>
      </c>
    </row>
    <row r="7" spans="1:7" x14ac:dyDescent="0.25">
      <c r="A7" s="8">
        <v>50715.14</v>
      </c>
      <c r="B7" s="3">
        <f>'TFS Financial Data '!E7/'Utilization Data'!A7</f>
        <v>4.6776838238048839</v>
      </c>
      <c r="C7" s="5">
        <f>'TFS Financial Data '!E7/$G$1</f>
        <v>7413.4184375000004</v>
      </c>
      <c r="D7" s="7">
        <v>0.79</v>
      </c>
    </row>
    <row r="8" spans="1:7" x14ac:dyDescent="0.25">
      <c r="A8" s="8">
        <v>52021.440000000002</v>
      </c>
      <c r="B8" s="3">
        <f>'TFS Financial Data '!E8/'Utilization Data'!A8</f>
        <v>4.8054978870250418</v>
      </c>
      <c r="C8" s="5">
        <f>'TFS Financial Data '!E8/$G$1</f>
        <v>7812.1537500000004</v>
      </c>
      <c r="D8" s="7">
        <v>0.52</v>
      </c>
    </row>
    <row r="9" spans="1:7" x14ac:dyDescent="0.25">
      <c r="A9" s="8">
        <v>48223.569000000003</v>
      </c>
      <c r="B9" s="3">
        <f>'TFS Financial Data '!E9/'Utilization Data'!A9</f>
        <v>4.3466577515239484</v>
      </c>
      <c r="C9" s="5">
        <f>'TFS Financial Data '!E9/$G$1</f>
        <v>6550.3546875000002</v>
      </c>
      <c r="D9" s="7">
        <v>0.55000000000000004</v>
      </c>
    </row>
    <row r="10" spans="1:7" x14ac:dyDescent="0.25">
      <c r="A10" s="8">
        <v>49059.4</v>
      </c>
      <c r="B10" s="3">
        <f>'TFS Financial Data '!E10/'Utilization Data'!A10</f>
        <v>5.6379601055047557</v>
      </c>
      <c r="C10" s="5">
        <f>'TFS Financial Data '!E10/$G$1</f>
        <v>8643.5918750000001</v>
      </c>
      <c r="D10" s="7">
        <v>0.54</v>
      </c>
    </row>
    <row r="11" spans="1:7" x14ac:dyDescent="0.25">
      <c r="A11" s="8">
        <v>58536.18</v>
      </c>
      <c r="B11" s="3">
        <f>'TFS Financial Data '!E11/'Utilization Data'!A11</f>
        <v>4.3515292593401211</v>
      </c>
      <c r="C11" s="5">
        <f>'TFS Financial Data '!E11/$G$1</f>
        <v>7960.0593749999998</v>
      </c>
      <c r="D11" s="7">
        <v>0.59</v>
      </c>
    </row>
    <row r="12" spans="1:7" x14ac:dyDescent="0.25">
      <c r="A12" s="8">
        <v>59855</v>
      </c>
      <c r="B12" s="3">
        <f>'TFS Financial Data '!E12/'Utilization Data'!A12</f>
        <v>4.7670618995906775</v>
      </c>
      <c r="C12" s="5">
        <f>'TFS Financial Data '!E12/$G$1</f>
        <v>8916.6403124999997</v>
      </c>
      <c r="D12" s="7">
        <v>0.63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875D-2562-4C54-A3E6-21A60BA9C83F}">
  <dimension ref="A1:F54"/>
  <sheetViews>
    <sheetView tabSelected="1" workbookViewId="0">
      <selection sqref="A1:XFD1048576"/>
    </sheetView>
  </sheetViews>
  <sheetFormatPr defaultRowHeight="15.75" x14ac:dyDescent="0.25"/>
  <cols>
    <col min="1" max="1" width="7" bestFit="1" customWidth="1"/>
    <col min="2" max="3" width="11.125" bestFit="1" customWidth="1"/>
    <col min="4" max="4" width="12.125" bestFit="1" customWidth="1"/>
    <col min="5" max="5" width="11.125" bestFit="1" customWidth="1"/>
    <col min="6" max="6" width="20.625" bestFit="1" customWidth="1"/>
  </cols>
  <sheetData>
    <row r="1" spans="1:6" x14ac:dyDescent="0.25">
      <c r="A1" t="s">
        <v>0</v>
      </c>
      <c r="B1">
        <v>2023</v>
      </c>
      <c r="C1">
        <v>2024</v>
      </c>
      <c r="D1">
        <v>2025</v>
      </c>
      <c r="E1">
        <v>2026</v>
      </c>
      <c r="F1" t="s">
        <v>55</v>
      </c>
    </row>
    <row r="2" spans="1:6" x14ac:dyDescent="0.25">
      <c r="A2" t="s">
        <v>1</v>
      </c>
      <c r="B2" s="1">
        <v>3718.75</v>
      </c>
      <c r="C2" s="1">
        <v>88296.61</v>
      </c>
      <c r="D2" s="1">
        <v>146998.6</v>
      </c>
      <c r="E2" s="1">
        <v>114901.17</v>
      </c>
      <c r="F2" s="2">
        <v>-0.21840000000000001</v>
      </c>
    </row>
    <row r="3" spans="1:6" x14ac:dyDescent="0.25">
      <c r="A3" t="s">
        <v>2</v>
      </c>
      <c r="B3" s="1">
        <v>77590.58</v>
      </c>
      <c r="C3" s="1">
        <v>126978.65</v>
      </c>
      <c r="D3" s="1">
        <v>165902.35</v>
      </c>
      <c r="E3" s="1">
        <v>175316.39</v>
      </c>
      <c r="F3" s="2">
        <v>5.67E-2</v>
      </c>
    </row>
    <row r="4" spans="1:6" x14ac:dyDescent="0.25">
      <c r="A4" t="s">
        <v>3</v>
      </c>
      <c r="B4" s="1">
        <v>85440.26</v>
      </c>
      <c r="C4" s="1">
        <v>118982.09</v>
      </c>
      <c r="D4" s="1">
        <v>158181.09</v>
      </c>
      <c r="E4" s="1">
        <v>253843.56</v>
      </c>
      <c r="F4" s="2">
        <v>0.6048</v>
      </c>
    </row>
    <row r="5" spans="1:6" x14ac:dyDescent="0.25">
      <c r="A5" t="s">
        <v>4</v>
      </c>
      <c r="B5" s="1">
        <v>96081.51</v>
      </c>
      <c r="C5" s="1">
        <v>118903.61</v>
      </c>
      <c r="D5" s="1">
        <v>145399.18</v>
      </c>
      <c r="E5" s="1">
        <v>231385.31</v>
      </c>
      <c r="F5" s="2">
        <v>0.59140000000000004</v>
      </c>
    </row>
    <row r="6" spans="1:6" x14ac:dyDescent="0.25">
      <c r="A6" t="s">
        <v>5</v>
      </c>
      <c r="B6" s="1">
        <v>80816.820000000007</v>
      </c>
      <c r="C6" s="1">
        <v>140190.75</v>
      </c>
      <c r="D6" s="1">
        <v>188231.53</v>
      </c>
      <c r="E6" s="1">
        <v>243852.47</v>
      </c>
      <c r="F6" s="2">
        <v>0.29549999999999998</v>
      </c>
    </row>
    <row r="7" spans="1:6" x14ac:dyDescent="0.25">
      <c r="A7" t="s">
        <v>6</v>
      </c>
      <c r="B7" s="1">
        <v>73017.070000000007</v>
      </c>
      <c r="C7" s="1">
        <v>144552.29</v>
      </c>
      <c r="D7" s="1">
        <v>149220.70000000001</v>
      </c>
      <c r="E7" s="1">
        <v>237229.39</v>
      </c>
      <c r="F7" s="2">
        <v>0.58979999999999999</v>
      </c>
    </row>
    <row r="8" spans="1:6" x14ac:dyDescent="0.25">
      <c r="A8" t="s">
        <v>7</v>
      </c>
      <c r="B8" s="1">
        <v>82108.13</v>
      </c>
      <c r="C8" s="1">
        <v>106451.51</v>
      </c>
      <c r="D8" s="1">
        <v>153156.54</v>
      </c>
      <c r="E8" s="1">
        <v>249988.92</v>
      </c>
      <c r="F8" s="2">
        <v>0.63219999999999998</v>
      </c>
    </row>
    <row r="9" spans="1:6" x14ac:dyDescent="0.25">
      <c r="A9" t="s">
        <v>8</v>
      </c>
      <c r="B9" s="1">
        <v>77806.5</v>
      </c>
      <c r="C9" s="1">
        <v>121868.36</v>
      </c>
      <c r="D9" s="1">
        <v>171482.25</v>
      </c>
      <c r="E9" s="1">
        <v>209611.35</v>
      </c>
      <c r="F9" s="2">
        <v>0.22239999999999999</v>
      </c>
    </row>
    <row r="10" spans="1:6" x14ac:dyDescent="0.25">
      <c r="A10" t="s">
        <v>9</v>
      </c>
      <c r="B10" s="1">
        <v>79094.28</v>
      </c>
      <c r="C10" s="1">
        <v>128925</v>
      </c>
      <c r="D10" s="1">
        <v>262635.78999999998</v>
      </c>
      <c r="E10" s="1">
        <v>276594.94</v>
      </c>
      <c r="F10" s="2">
        <v>5.3199999999999997E-2</v>
      </c>
    </row>
    <row r="11" spans="1:6" x14ac:dyDescent="0.25">
      <c r="A11" t="s">
        <v>10</v>
      </c>
      <c r="B11" s="1">
        <v>89003.15</v>
      </c>
      <c r="C11" s="1">
        <v>136693.53</v>
      </c>
      <c r="D11" s="1">
        <v>204447.96</v>
      </c>
      <c r="E11" s="1">
        <v>254721.9</v>
      </c>
      <c r="F11" s="2">
        <v>0.24590000000000001</v>
      </c>
    </row>
    <row r="12" spans="1:6" x14ac:dyDescent="0.25">
      <c r="A12" t="s">
        <v>11</v>
      </c>
      <c r="B12" s="1">
        <v>86718.5</v>
      </c>
      <c r="C12" s="1">
        <v>147013.19</v>
      </c>
      <c r="D12" s="1">
        <v>155715.91</v>
      </c>
      <c r="E12" s="1">
        <v>285332.49</v>
      </c>
      <c r="F12" s="2">
        <v>0.83240000000000003</v>
      </c>
    </row>
    <row r="13" spans="1:6" x14ac:dyDescent="0.25">
      <c r="A13" t="s">
        <v>12</v>
      </c>
      <c r="B13" s="1">
        <v>80100.160000000003</v>
      </c>
      <c r="C13" s="1">
        <v>161552.92000000001</v>
      </c>
      <c r="D13" s="1">
        <v>229340.03</v>
      </c>
      <c r="E13" s="1"/>
      <c r="F13" s="2"/>
    </row>
    <row r="14" spans="1:6" x14ac:dyDescent="0.25">
      <c r="A14" t="s">
        <v>13</v>
      </c>
      <c r="B14" s="1">
        <v>84645.119999999995</v>
      </c>
      <c r="C14" s="1">
        <v>144737.76</v>
      </c>
      <c r="D14" s="1">
        <v>146517.87</v>
      </c>
      <c r="E14" s="1"/>
      <c r="F14" s="2"/>
    </row>
    <row r="15" spans="1:6" x14ac:dyDescent="0.25">
      <c r="A15" t="s">
        <v>14</v>
      </c>
      <c r="B15" s="1">
        <v>86681.61</v>
      </c>
      <c r="C15" s="1">
        <v>143125.14000000001</v>
      </c>
      <c r="D15" s="1">
        <v>171618.72</v>
      </c>
      <c r="E15" s="1"/>
      <c r="F15" s="2"/>
    </row>
    <row r="16" spans="1:6" x14ac:dyDescent="0.25">
      <c r="A16" t="s">
        <v>15</v>
      </c>
      <c r="B16" s="1">
        <v>74512.399999999994</v>
      </c>
      <c r="C16" s="1">
        <v>157705.67000000001</v>
      </c>
      <c r="D16" s="1">
        <v>143872.01999999999</v>
      </c>
      <c r="E16" s="1"/>
      <c r="F16" s="2"/>
    </row>
    <row r="17" spans="1:6" x14ac:dyDescent="0.25">
      <c r="A17" t="s">
        <v>16</v>
      </c>
      <c r="B17" s="1">
        <v>74192.53</v>
      </c>
      <c r="C17" s="1">
        <v>164823.99</v>
      </c>
      <c r="D17" s="1">
        <v>179689.87</v>
      </c>
      <c r="E17" s="1"/>
      <c r="F17" s="2"/>
    </row>
    <row r="18" spans="1:6" x14ac:dyDescent="0.25">
      <c r="A18" t="s">
        <v>17</v>
      </c>
      <c r="B18" s="1">
        <v>84733.62</v>
      </c>
      <c r="C18" s="1">
        <v>177324.95</v>
      </c>
      <c r="D18" s="1">
        <v>172109.29</v>
      </c>
      <c r="E18" s="1"/>
      <c r="F18" s="2"/>
    </row>
    <row r="19" spans="1:6" x14ac:dyDescent="0.25">
      <c r="A19" t="s">
        <v>18</v>
      </c>
      <c r="B19" s="1">
        <v>84201.74</v>
      </c>
      <c r="C19" s="1">
        <v>161978.93</v>
      </c>
      <c r="D19" s="1">
        <v>239699.14</v>
      </c>
      <c r="E19" s="1"/>
      <c r="F19" s="2"/>
    </row>
    <row r="20" spans="1:6" x14ac:dyDescent="0.25">
      <c r="A20" t="s">
        <v>19</v>
      </c>
      <c r="B20" s="1">
        <v>79536.47</v>
      </c>
      <c r="C20" s="1">
        <v>165397.81</v>
      </c>
      <c r="D20" s="1">
        <v>188420.94</v>
      </c>
      <c r="E20" s="1"/>
      <c r="F20" s="2"/>
    </row>
    <row r="21" spans="1:6" x14ac:dyDescent="0.25">
      <c r="A21" t="s">
        <v>20</v>
      </c>
      <c r="B21" s="1">
        <v>94029.92</v>
      </c>
      <c r="C21" s="1">
        <v>142485.68</v>
      </c>
      <c r="D21" s="1">
        <v>283371.93</v>
      </c>
      <c r="E21" s="1"/>
      <c r="F21" s="2"/>
    </row>
    <row r="22" spans="1:6" x14ac:dyDescent="0.25">
      <c r="A22" t="s">
        <v>21</v>
      </c>
      <c r="B22" s="1">
        <v>93860.58</v>
      </c>
      <c r="C22" s="1">
        <v>148690.66</v>
      </c>
      <c r="D22" s="1">
        <v>237449.68</v>
      </c>
      <c r="E22" s="1"/>
      <c r="F22" s="2"/>
    </row>
    <row r="23" spans="1:6" x14ac:dyDescent="0.25">
      <c r="A23" t="s">
        <v>22</v>
      </c>
      <c r="B23" s="1">
        <v>92044.97</v>
      </c>
      <c r="C23" s="1">
        <v>187398.86</v>
      </c>
      <c r="D23" s="1">
        <v>244199.32</v>
      </c>
      <c r="E23" s="1"/>
      <c r="F23" s="2"/>
    </row>
    <row r="24" spans="1:6" x14ac:dyDescent="0.25">
      <c r="A24" t="s">
        <v>23</v>
      </c>
      <c r="B24" s="1">
        <v>86816.03</v>
      </c>
      <c r="C24" s="1">
        <v>85814.9</v>
      </c>
      <c r="D24" s="1">
        <v>218365.28</v>
      </c>
      <c r="E24" s="1"/>
      <c r="F24" s="2"/>
    </row>
    <row r="25" spans="1:6" x14ac:dyDescent="0.25">
      <c r="A25" t="s">
        <v>24</v>
      </c>
      <c r="B25" s="1">
        <v>100020.75</v>
      </c>
      <c r="C25" s="1">
        <v>254630.54</v>
      </c>
      <c r="D25" s="1">
        <v>279898.32</v>
      </c>
      <c r="E25" s="1"/>
      <c r="F25" s="2"/>
    </row>
    <row r="26" spans="1:6" x14ac:dyDescent="0.25">
      <c r="A26" t="s">
        <v>25</v>
      </c>
      <c r="B26" s="1">
        <v>81313.259999999995</v>
      </c>
      <c r="C26" s="1">
        <v>325390.90000000002</v>
      </c>
      <c r="D26" s="1">
        <v>269317.75</v>
      </c>
      <c r="E26" s="1"/>
      <c r="F26" s="2"/>
    </row>
    <row r="27" spans="1:6" x14ac:dyDescent="0.25">
      <c r="A27" t="s">
        <v>26</v>
      </c>
      <c r="B27" s="1">
        <v>93206.68</v>
      </c>
      <c r="C27" s="1">
        <v>231363.5</v>
      </c>
      <c r="D27" s="1">
        <v>256935.73</v>
      </c>
      <c r="E27" s="1"/>
      <c r="F27" s="2"/>
    </row>
    <row r="28" spans="1:6" x14ac:dyDescent="0.25">
      <c r="A28" t="s">
        <v>27</v>
      </c>
      <c r="B28" s="1">
        <v>125658.74</v>
      </c>
      <c r="C28" s="1">
        <v>166773.01999999999</v>
      </c>
      <c r="D28" s="1">
        <v>208484.05</v>
      </c>
      <c r="E28" s="1"/>
      <c r="F28" s="2"/>
    </row>
    <row r="29" spans="1:6" x14ac:dyDescent="0.25">
      <c r="A29" t="s">
        <v>28</v>
      </c>
      <c r="B29" s="1">
        <v>83208.429999999993</v>
      </c>
      <c r="C29" s="1">
        <v>202342.04</v>
      </c>
      <c r="D29" s="1">
        <v>214612.16</v>
      </c>
      <c r="E29" s="1"/>
      <c r="F29" s="2"/>
    </row>
    <row r="30" spans="1:6" x14ac:dyDescent="0.25">
      <c r="A30" t="s">
        <v>29</v>
      </c>
      <c r="B30" s="1">
        <v>93840.07</v>
      </c>
      <c r="C30" s="1">
        <v>220661.32</v>
      </c>
      <c r="D30" s="1">
        <v>255439.57</v>
      </c>
      <c r="E30" s="1"/>
      <c r="F30" s="2"/>
    </row>
    <row r="31" spans="1:6" x14ac:dyDescent="0.25">
      <c r="A31" t="s">
        <v>30</v>
      </c>
      <c r="B31" s="1">
        <v>82642.61</v>
      </c>
      <c r="C31" s="1">
        <v>211990.51</v>
      </c>
      <c r="D31" s="1">
        <v>234266.29</v>
      </c>
      <c r="E31" s="1"/>
      <c r="F31" s="2"/>
    </row>
    <row r="32" spans="1:6" x14ac:dyDescent="0.25">
      <c r="A32" t="s">
        <v>31</v>
      </c>
      <c r="B32" s="1">
        <v>94309.57</v>
      </c>
      <c r="C32" s="1">
        <v>144010.56</v>
      </c>
      <c r="D32" s="1">
        <v>235618.28</v>
      </c>
      <c r="E32" s="1"/>
      <c r="F32" s="2"/>
    </row>
    <row r="33" spans="1:6" x14ac:dyDescent="0.25">
      <c r="A33" t="s">
        <v>32</v>
      </c>
      <c r="B33" s="1">
        <v>102353.17</v>
      </c>
      <c r="C33" s="1">
        <v>185010.66</v>
      </c>
      <c r="D33" s="1">
        <v>210689.02</v>
      </c>
      <c r="E33" s="1"/>
      <c r="F33" s="2"/>
    </row>
    <row r="34" spans="1:6" x14ac:dyDescent="0.25">
      <c r="A34" t="s">
        <v>33</v>
      </c>
      <c r="B34" s="1">
        <v>111111.17</v>
      </c>
      <c r="C34" s="1">
        <v>187147.2</v>
      </c>
      <c r="D34" s="1">
        <v>193325.81</v>
      </c>
      <c r="E34" s="1"/>
      <c r="F34" s="2"/>
    </row>
    <row r="35" spans="1:6" x14ac:dyDescent="0.25">
      <c r="A35" t="s">
        <v>34</v>
      </c>
      <c r="B35" s="1">
        <v>105741.19</v>
      </c>
      <c r="C35" s="1">
        <v>181145.94</v>
      </c>
      <c r="D35" s="1">
        <v>191816.72</v>
      </c>
      <c r="E35" s="1"/>
      <c r="F35" s="2"/>
    </row>
    <row r="36" spans="1:6" x14ac:dyDescent="0.25">
      <c r="A36" t="s">
        <v>35</v>
      </c>
      <c r="B36" s="1">
        <v>95025.46</v>
      </c>
      <c r="C36" s="1">
        <v>210834.71</v>
      </c>
      <c r="D36" s="1">
        <v>192543.94</v>
      </c>
      <c r="E36" s="1"/>
      <c r="F36" s="2"/>
    </row>
    <row r="37" spans="1:6" x14ac:dyDescent="0.25">
      <c r="A37" t="s">
        <v>36</v>
      </c>
      <c r="B37" s="1">
        <v>124700.32</v>
      </c>
      <c r="C37" s="1">
        <v>133001.04999999999</v>
      </c>
      <c r="D37" s="1">
        <v>280809.96999999997</v>
      </c>
      <c r="E37" s="1"/>
      <c r="F37" s="2"/>
    </row>
    <row r="38" spans="1:6" x14ac:dyDescent="0.25">
      <c r="A38" t="s">
        <v>37</v>
      </c>
      <c r="B38" s="1"/>
      <c r="C38" s="1">
        <v>165585.31</v>
      </c>
      <c r="D38" s="1">
        <v>174988.61</v>
      </c>
      <c r="E38" s="1"/>
      <c r="F38" s="2"/>
    </row>
    <row r="39" spans="1:6" x14ac:dyDescent="0.25">
      <c r="A39" t="s">
        <v>38</v>
      </c>
      <c r="B39" s="1">
        <v>5983.48</v>
      </c>
      <c r="C39" s="1">
        <v>156237.85999999999</v>
      </c>
      <c r="D39" s="1">
        <v>233439.62</v>
      </c>
      <c r="E39" s="1"/>
      <c r="F39" s="2"/>
    </row>
    <row r="40" spans="1:6" x14ac:dyDescent="0.25">
      <c r="A40" t="s">
        <v>39</v>
      </c>
      <c r="B40" s="1">
        <v>329616.48</v>
      </c>
      <c r="C40" s="1">
        <v>198295.13</v>
      </c>
      <c r="D40" s="1">
        <v>174262.89</v>
      </c>
      <c r="E40" s="1"/>
      <c r="F40" s="2"/>
    </row>
    <row r="41" spans="1:6" x14ac:dyDescent="0.25">
      <c r="A41" t="s">
        <v>40</v>
      </c>
      <c r="B41" s="1">
        <v>130164.75</v>
      </c>
      <c r="C41" s="1">
        <v>234987.46</v>
      </c>
      <c r="D41" s="1">
        <v>257163.01</v>
      </c>
      <c r="E41" s="1"/>
      <c r="F41" s="2"/>
    </row>
    <row r="42" spans="1:6" x14ac:dyDescent="0.25">
      <c r="A42" t="s">
        <v>41</v>
      </c>
      <c r="B42" s="1">
        <v>113898.6</v>
      </c>
      <c r="C42" s="1">
        <v>172505.76</v>
      </c>
      <c r="D42" s="1">
        <v>213874.16</v>
      </c>
      <c r="E42" s="1"/>
      <c r="F42" s="2"/>
    </row>
    <row r="43" spans="1:6" x14ac:dyDescent="0.25">
      <c r="A43" t="s">
        <v>42</v>
      </c>
      <c r="B43" s="1">
        <v>106964.04</v>
      </c>
      <c r="C43" s="1">
        <v>182630.14</v>
      </c>
      <c r="D43" s="1">
        <v>180132.86</v>
      </c>
      <c r="E43" s="1"/>
      <c r="F43" s="2"/>
    </row>
    <row r="44" spans="1:6" x14ac:dyDescent="0.25">
      <c r="A44" t="s">
        <v>43</v>
      </c>
      <c r="B44" s="1">
        <v>105135.01</v>
      </c>
      <c r="C44" s="1">
        <v>225644.73</v>
      </c>
      <c r="D44" s="1">
        <v>205128.51</v>
      </c>
      <c r="E44" s="1"/>
      <c r="F44" s="2"/>
    </row>
    <row r="45" spans="1:6" x14ac:dyDescent="0.25">
      <c r="A45" t="s">
        <v>44</v>
      </c>
      <c r="B45" s="1">
        <v>113036.37</v>
      </c>
      <c r="C45" s="1">
        <v>251121.26</v>
      </c>
      <c r="D45" s="1">
        <v>257007.11</v>
      </c>
      <c r="E45" s="1"/>
      <c r="F45" s="2"/>
    </row>
    <row r="46" spans="1:6" x14ac:dyDescent="0.25">
      <c r="A46" t="s">
        <v>45</v>
      </c>
      <c r="B46" s="1">
        <v>119630.03</v>
      </c>
      <c r="C46" s="1">
        <v>222507.86</v>
      </c>
      <c r="D46" s="1">
        <v>217504.57</v>
      </c>
      <c r="E46" s="1"/>
      <c r="F46" s="2"/>
    </row>
    <row r="47" spans="1:6" x14ac:dyDescent="0.25">
      <c r="A47" t="s">
        <v>46</v>
      </c>
      <c r="B47" s="1">
        <v>125475.35</v>
      </c>
      <c r="C47" s="1">
        <v>190657.28</v>
      </c>
      <c r="D47" s="1">
        <v>246198.95</v>
      </c>
      <c r="E47" s="1"/>
      <c r="F47" s="2"/>
    </row>
    <row r="48" spans="1:6" x14ac:dyDescent="0.25">
      <c r="A48" t="s">
        <v>47</v>
      </c>
      <c r="B48" s="1">
        <v>129871.27</v>
      </c>
      <c r="C48" s="1">
        <v>180211.11</v>
      </c>
      <c r="D48" s="1">
        <v>255541.58</v>
      </c>
      <c r="E48" s="1"/>
      <c r="F48" s="2"/>
    </row>
    <row r="49" spans="1:6" x14ac:dyDescent="0.25">
      <c r="A49" t="s">
        <v>48</v>
      </c>
      <c r="B49" s="1">
        <v>115409.73</v>
      </c>
      <c r="C49" s="1">
        <v>232850.98</v>
      </c>
      <c r="D49" s="1">
        <v>172618.99</v>
      </c>
      <c r="E49" s="1"/>
      <c r="F49" s="2"/>
    </row>
    <row r="50" spans="1:6" x14ac:dyDescent="0.25">
      <c r="A50" t="s">
        <v>49</v>
      </c>
      <c r="B50" s="1">
        <v>105027.94</v>
      </c>
      <c r="C50" s="1">
        <v>225108.48000000001</v>
      </c>
      <c r="D50" s="1">
        <v>328374.40000000002</v>
      </c>
      <c r="E50" s="1"/>
      <c r="F50" s="2"/>
    </row>
    <row r="51" spans="1:6" x14ac:dyDescent="0.25">
      <c r="A51" t="s">
        <v>50</v>
      </c>
      <c r="B51" s="1">
        <v>119150.43</v>
      </c>
      <c r="C51" s="1">
        <v>206603.06</v>
      </c>
      <c r="D51" s="1">
        <v>233965.87</v>
      </c>
      <c r="E51" s="1"/>
      <c r="F51" s="2"/>
    </row>
    <row r="52" spans="1:6" x14ac:dyDescent="0.25">
      <c r="A52" t="s">
        <v>51</v>
      </c>
      <c r="B52" s="1">
        <v>135880.21</v>
      </c>
      <c r="C52" s="1">
        <v>145323.60999999999</v>
      </c>
      <c r="D52" s="1">
        <v>240403.19</v>
      </c>
      <c r="E52" s="1"/>
      <c r="F52" s="2"/>
    </row>
    <row r="53" spans="1:6" x14ac:dyDescent="0.25">
      <c r="A53" t="s">
        <v>52</v>
      </c>
      <c r="B53" s="1">
        <v>137427.87</v>
      </c>
      <c r="C53" s="1">
        <v>127610.55</v>
      </c>
      <c r="D53" s="1">
        <v>101605.31</v>
      </c>
      <c r="E53" s="1"/>
      <c r="F53" s="2"/>
    </row>
    <row r="54" spans="1:6" x14ac:dyDescent="0.25">
      <c r="A54" t="s">
        <v>53</v>
      </c>
      <c r="B54" s="1">
        <f>SUM(B2:B53)</f>
        <v>5032553.68</v>
      </c>
      <c r="C54" s="1">
        <f t="shared" ref="C54:E54" si="0">SUM(C2:C53)</f>
        <v>8992075.3900000025</v>
      </c>
      <c r="D54" s="1">
        <f t="shared" si="0"/>
        <v>10871993.229999999</v>
      </c>
      <c r="E54" s="1">
        <f t="shared" si="0"/>
        <v>2532777.8899999997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Combined Data</vt:lpstr>
      <vt:lpstr>Utilization Data</vt:lpstr>
      <vt:lpstr>TFS Financial Data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Gerald Lowe</cp:lastModifiedBy>
  <dcterms:created xsi:type="dcterms:W3CDTF">2022-03-24T08:55:57Z</dcterms:created>
  <dcterms:modified xsi:type="dcterms:W3CDTF">2026-03-25T23:05:24Z</dcterms:modified>
  <cp:category/>
</cp:coreProperties>
</file>